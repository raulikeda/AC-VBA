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45" windowWidth="20250" windowHeight="8685"/>
  </bookViews>
  <sheets>
    <sheet name="Plan1" sheetId="4" r:id="rId1"/>
  </sheets>
  <functionGroups builtInGroupCount="17"/>
  <definedNames>
    <definedName name="solver_adj" localSheetId="0" hidden="1">Plan1!$B$11:$H$11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Plan1!$G$9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F16" i="4" l="1"/>
  <c r="F15" i="4"/>
  <c r="F14" i="4"/>
  <c r="F13" i="4"/>
  <c r="F12" i="4"/>
  <c r="F11" i="4"/>
  <c r="G7" i="4"/>
  <c r="D16" i="4" s="1"/>
  <c r="G6" i="4"/>
  <c r="D15" i="4" s="1"/>
  <c r="G5" i="4"/>
  <c r="D14" i="4" s="1"/>
  <c r="G4" i="4"/>
  <c r="D13" i="4" s="1"/>
  <c r="G3" i="4"/>
  <c r="D12" i="4" s="1"/>
  <c r="G2" i="4"/>
  <c r="E11" i="4" s="1"/>
  <c r="I16" i="4"/>
  <c r="I14" i="4"/>
  <c r="I15" i="4"/>
  <c r="H6" i="4" l="1"/>
  <c r="H5" i="4"/>
  <c r="H7" i="4"/>
  <c r="H3" i="4"/>
  <c r="H2" i="4"/>
  <c r="H4" i="4"/>
  <c r="D11" i="4"/>
  <c r="C13" i="4"/>
  <c r="E13" i="4"/>
  <c r="E15" i="4"/>
  <c r="C14" i="4"/>
  <c r="E14" i="4"/>
  <c r="C12" i="4"/>
  <c r="C16" i="4"/>
  <c r="E12" i="4"/>
  <c r="C15" i="4"/>
  <c r="E16" i="4"/>
  <c r="C11" i="4"/>
  <c r="C19" i="4" l="1" a="1"/>
  <c r="G22" i="4" s="1"/>
  <c r="F19" i="4" l="1"/>
  <c r="D22" i="4"/>
  <c r="E20" i="4"/>
  <c r="D19" i="4"/>
  <c r="H21" i="4"/>
  <c r="G20" i="4"/>
  <c r="D20" i="4"/>
  <c r="H22" i="4"/>
  <c r="C21" i="4"/>
  <c r="H19" i="4"/>
  <c r="F22" i="4"/>
  <c r="E21" i="4"/>
  <c r="H20" i="4"/>
  <c r="C19" i="4"/>
  <c r="G21" i="4"/>
  <c r="F20" i="4"/>
  <c r="E19" i="4"/>
  <c r="C22" i="4"/>
  <c r="F21" i="4"/>
  <c r="G19" i="4"/>
  <c r="E22" i="4"/>
  <c r="D21" i="4"/>
  <c r="C20" i="4"/>
  <c r="I9" i="4" l="1" a="1"/>
  <c r="I9" i="4" s="1"/>
  <c r="I10" i="4" l="1"/>
  <c r="I11" i="4"/>
  <c r="I12" i="4"/>
</calcChain>
</file>

<file path=xl/sharedStrings.xml><?xml version="1.0" encoding="utf-8"?>
<sst xmlns="http://schemas.openxmlformats.org/spreadsheetml/2006/main" count="20" uniqueCount="20">
  <si>
    <t>SV</t>
  </si>
  <si>
    <t>X</t>
  </si>
  <si>
    <t>Y</t>
  </si>
  <si>
    <t>Z</t>
  </si>
  <si>
    <t>Ri</t>
  </si>
  <si>
    <t>dt</t>
  </si>
  <si>
    <t>ρ</t>
  </si>
  <si>
    <t>correções</t>
  </si>
  <si>
    <t>Δρ</t>
  </si>
  <si>
    <t>A=</t>
  </si>
  <si>
    <t>(AᵀA)⁻¹Aᵀ=</t>
  </si>
  <si>
    <t>xr</t>
  </si>
  <si>
    <t>yr</t>
  </si>
  <si>
    <t>zr</t>
  </si>
  <si>
    <t>c</t>
  </si>
  <si>
    <t>ΔP</t>
  </si>
  <si>
    <t>Altitude</t>
  </si>
  <si>
    <t>Longitude</t>
  </si>
  <si>
    <t>Latitude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</si>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</sst>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0" fontId="0" fillId="2" borderId="1" xfId="0" applyFill="1" applyBorder="1"/>
    <xf numFmtId="165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0" fontId="0" fillId="0" borderId="6" xfId="0" applyBorder="1"/>
    <xf numFmtId="0" fontId="0" fillId="0" borderId="8" xfId="0" applyBorder="1"/>
    <xf numFmtId="164" fontId="0" fillId="0" borderId="9" xfId="0" applyNumberFormat="1" applyBorder="1"/>
    <xf numFmtId="0" fontId="0" fillId="0" borderId="11" xfId="0" applyBorder="1"/>
    <xf numFmtId="164" fontId="0" fillId="0" borderId="12" xfId="0" applyNumberFormat="1" applyBorder="1"/>
    <xf numFmtId="0" fontId="1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0" fillId="0" borderId="13" xfId="0" applyNumberFormat="1" applyBorder="1"/>
    <xf numFmtId="164" fontId="0" fillId="0" borderId="7" xfId="0" applyNumberFormat="1" applyBorder="1"/>
    <xf numFmtId="164" fontId="0" fillId="0" borderId="10" xfId="0" applyNumberFormat="1" applyBorder="1"/>
    <xf numFmtId="0" fontId="1" fillId="0" borderId="14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" fillId="0" borderId="14" xfId="0" applyFont="1" applyBorder="1" applyAlignment="1">
      <alignment horizontal="center"/>
    </xf>
    <xf numFmtId="164" fontId="0" fillId="0" borderId="15" xfId="0" applyNumberFormat="1" applyBorder="1"/>
    <xf numFmtId="164" fontId="0" fillId="0" borderId="16" xfId="0" applyNumberFormat="1" applyBorder="1"/>
    <xf numFmtId="164" fontId="0" fillId="0" borderId="17" xfId="0" applyNumberFormat="1" applyBorder="1"/>
    <xf numFmtId="16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0" fillId="0" borderId="14" xfId="0" applyBorder="1"/>
    <xf numFmtId="0" fontId="1" fillId="0" borderId="1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19" xfId="0" applyBorder="1"/>
    <xf numFmtId="0" fontId="2" fillId="0" borderId="0" xfId="0" applyFont="1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J22"/>
  <sheetViews>
    <sheetView tabSelected="1" workbookViewId="0">
      <selection activeCell="F9" sqref="F9"/>
    </sheetView>
  </sheetViews>
  <sheetFormatPr defaultRowHeight="15" x14ac:dyDescent="0.25"/>
  <cols>
    <col min="2" max="2" width="16.7109375" bestFit="1" customWidth="1"/>
    <col min="3" max="4" width="16.5703125" customWidth="1"/>
    <col min="5" max="5" width="19.140625" customWidth="1"/>
    <col min="6" max="6" width="14.85546875" customWidth="1"/>
    <col min="7" max="7" width="13.42578125" bestFit="1" customWidth="1"/>
    <col min="8" max="9" width="14" customWidth="1"/>
    <col min="10" max="10" width="21" bestFit="1" customWidth="1"/>
    <col min="11" max="11" width="12.7109375" bestFit="1" customWidth="1"/>
    <col min="12" max="12" width="18.85546875" bestFit="1" customWidth="1"/>
    <col min="13" max="13" width="12.28515625" bestFit="1" customWidth="1"/>
  </cols>
  <sheetData>
    <row r="1" spans="1:10" x14ac:dyDescent="0.25">
      <c r="A1" s="11" t="s">
        <v>0</v>
      </c>
      <c r="B1" s="12" t="s">
        <v>6</v>
      </c>
      <c r="C1" s="13" t="s">
        <v>1</v>
      </c>
      <c r="D1" s="13" t="s">
        <v>2</v>
      </c>
      <c r="E1" s="13" t="s">
        <v>3</v>
      </c>
      <c r="F1" s="14" t="s">
        <v>7</v>
      </c>
      <c r="G1" s="18" t="s">
        <v>4</v>
      </c>
      <c r="H1" s="22" t="s">
        <v>8</v>
      </c>
      <c r="J1" s="1"/>
    </row>
    <row r="2" spans="1:10" x14ac:dyDescent="0.25">
      <c r="A2" s="9">
        <v>15</v>
      </c>
      <c r="B2" s="10">
        <v>23945719.827584982</v>
      </c>
      <c r="C2" s="10">
        <v>23222065.312848501</v>
      </c>
      <c r="D2" s="10">
        <v>-9681191.4871051293</v>
      </c>
      <c r="E2" s="10">
        <v>8129695.15749723</v>
      </c>
      <c r="F2" s="15">
        <v>40214.327065300189</v>
      </c>
      <c r="G2" s="19">
        <f t="shared" ref="G2:G7" si="0">SQRT((C2-$H$9)^2+(D2-$H$10)^2+(E2-$H$11)^2)</f>
        <v>22632715.944386054</v>
      </c>
      <c r="H2" s="23">
        <f t="shared" ref="H2:H7" si="1">B2+F2-G2-$H$12*$B$9</f>
        <v>0</v>
      </c>
      <c r="J2" s="1"/>
    </row>
    <row r="3" spans="1:10" x14ac:dyDescent="0.25">
      <c r="A3" s="6">
        <v>27</v>
      </c>
      <c r="B3" s="5">
        <v>22428213.574402101</v>
      </c>
      <c r="C3" s="5">
        <v>13005776.681337001</v>
      </c>
      <c r="D3" s="5">
        <v>-9770616.6158061698</v>
      </c>
      <c r="E3" s="5">
        <v>-20933199.135591902</v>
      </c>
      <c r="F3" s="16">
        <v>130757.94907059337</v>
      </c>
      <c r="G3" s="20">
        <f t="shared" si="0"/>
        <v>21205753.313208468</v>
      </c>
      <c r="H3" s="24">
        <f t="shared" si="1"/>
        <v>0</v>
      </c>
      <c r="J3" s="1"/>
    </row>
    <row r="4" spans="1:10" x14ac:dyDescent="0.25">
      <c r="A4" s="6">
        <v>31</v>
      </c>
      <c r="B4" s="5">
        <v>24437286.265178308</v>
      </c>
      <c r="C4" s="5">
        <v>12224816.9708848</v>
      </c>
      <c r="D4" s="5">
        <v>-20345626.458218198</v>
      </c>
      <c r="E4" s="5">
        <v>11954980.988193201</v>
      </c>
      <c r="F4" s="16">
        <v>76165.133140825477</v>
      </c>
      <c r="G4" s="20">
        <f t="shared" si="0"/>
        <v>23160233.188054904</v>
      </c>
      <c r="H4" s="24">
        <f t="shared" si="1"/>
        <v>0</v>
      </c>
      <c r="J4" s="1"/>
    </row>
    <row r="5" spans="1:10" x14ac:dyDescent="0.25">
      <c r="A5" s="6">
        <v>7</v>
      </c>
      <c r="B5" s="5">
        <v>21907150.573671654</v>
      </c>
      <c r="C5" s="5">
        <v>19947181.6260342</v>
      </c>
      <c r="D5" s="5">
        <v>-17284410.0004947</v>
      </c>
      <c r="E5" s="5">
        <v>-2497145.4260784099</v>
      </c>
      <c r="F5" s="16">
        <v>29484.136527761188</v>
      </c>
      <c r="G5" s="20">
        <f t="shared" si="0"/>
        <v>20583416.499935187</v>
      </c>
      <c r="H5" s="24">
        <f t="shared" si="1"/>
        <v>0</v>
      </c>
      <c r="J5" s="1"/>
    </row>
    <row r="6" spans="1:10" x14ac:dyDescent="0.25">
      <c r="A6" s="6">
        <v>22</v>
      </c>
      <c r="B6" s="5">
        <v>22398971.081219472</v>
      </c>
      <c r="C6" s="5">
        <v>3864672.1410690201</v>
      </c>
      <c r="D6" s="5">
        <v>-24176481.6418938</v>
      </c>
      <c r="E6" s="5">
        <v>-9040154.94469277</v>
      </c>
      <c r="F6" s="16">
        <v>-89263.839096075855</v>
      </c>
      <c r="G6" s="20">
        <f t="shared" si="0"/>
        <v>20956489.031859167</v>
      </c>
      <c r="H6" s="24">
        <f t="shared" si="1"/>
        <v>0</v>
      </c>
      <c r="J6" s="1"/>
    </row>
    <row r="7" spans="1:10" ht="15.75" thickBot="1" x14ac:dyDescent="0.3">
      <c r="A7" s="7">
        <v>14</v>
      </c>
      <c r="B7" s="8">
        <v>24717569.408664219</v>
      </c>
      <c r="C7" s="8">
        <v>-7252191.7779925298</v>
      </c>
      <c r="D7" s="8">
        <v>-24263801.6606251</v>
      </c>
      <c r="E7" s="8">
        <v>-7338822.5891090902</v>
      </c>
      <c r="F7" s="17">
        <v>94311.998422613207</v>
      </c>
      <c r="G7" s="21">
        <f t="shared" si="0"/>
        <v>23458663.196822602</v>
      </c>
      <c r="H7" s="25">
        <f t="shared" si="1"/>
        <v>0</v>
      </c>
      <c r="J7" s="1"/>
    </row>
    <row r="8" spans="1:10" ht="15.75" thickBot="1" x14ac:dyDescent="0.3">
      <c r="I8" s="32" t="s">
        <v>15</v>
      </c>
    </row>
    <row r="9" spans="1:10" ht="15.75" thickBot="1" x14ac:dyDescent="0.3">
      <c r="A9" s="30" t="s">
        <v>14</v>
      </c>
      <c r="B9" s="31">
        <v>299792.45799999998</v>
      </c>
      <c r="G9" s="26" t="s">
        <v>11</v>
      </c>
      <c r="H9" s="33">
        <v>4012798.720000003</v>
      </c>
      <c r="I9" s="28">
        <f t="array" ref="I9:I12">MMULT(C19:H22,H2:H7)</f>
        <v>0</v>
      </c>
    </row>
    <row r="10" spans="1:10" x14ac:dyDescent="0.25">
      <c r="G10" s="27" t="s">
        <v>12</v>
      </c>
      <c r="H10" s="34">
        <v>-4254797.0699999994</v>
      </c>
      <c r="I10" s="20">
        <v>0</v>
      </c>
    </row>
    <row r="11" spans="1:10" x14ac:dyDescent="0.25">
      <c r="B11" s="36" t="s">
        <v>9</v>
      </c>
      <c r="C11" s="3">
        <f t="shared" ref="C11:C16" si="2">(H$9-C2)/$G2</f>
        <v>-0.84873890698978494</v>
      </c>
      <c r="D11" s="3">
        <f t="shared" ref="D11:D16" si="3">(H$10-D2)/$G2</f>
        <v>0.23975887076208913</v>
      </c>
      <c r="E11" s="3">
        <f t="shared" ref="E11:E16" si="4">(H$11-E2)/$G2</f>
        <v>-0.4713363466280453</v>
      </c>
      <c r="F11" s="3">
        <f t="shared" ref="F11:F16" si="5">$B$9</f>
        <v>299792.45799999998</v>
      </c>
      <c r="G11" s="27" t="s">
        <v>13</v>
      </c>
      <c r="H11" s="34">
        <v>-2537926.4900000026</v>
      </c>
      <c r="I11" s="20">
        <v>0</v>
      </c>
    </row>
    <row r="12" spans="1:10" ht="15.75" thickBot="1" x14ac:dyDescent="0.3">
      <c r="B12" s="36"/>
      <c r="C12" s="3">
        <f t="shared" si="2"/>
        <v>-0.42408198513445522</v>
      </c>
      <c r="D12" s="3">
        <f t="shared" si="3"/>
        <v>0.26010957801581713</v>
      </c>
      <c r="E12" s="3">
        <f t="shared" si="4"/>
        <v>0.86746612458865113</v>
      </c>
      <c r="F12" s="3">
        <f t="shared" si="5"/>
        <v>299792.45799999998</v>
      </c>
      <c r="G12" s="27" t="s">
        <v>5</v>
      </c>
      <c r="H12" s="35">
        <v>4.5138500791244995</v>
      </c>
      <c r="I12" s="21">
        <v>0</v>
      </c>
    </row>
    <row r="13" spans="1:10" x14ac:dyDescent="0.25">
      <c r="B13" s="36"/>
      <c r="C13" s="3">
        <f t="shared" si="2"/>
        <v>-0.35457407463065693</v>
      </c>
      <c r="D13" s="3">
        <f t="shared" si="3"/>
        <v>0.69476111304946553</v>
      </c>
      <c r="E13" s="3">
        <f t="shared" si="4"/>
        <v>-0.62576690659868006</v>
      </c>
      <c r="F13" s="3">
        <f t="shared" si="5"/>
        <v>299792.45799999998</v>
      </c>
    </row>
    <row r="14" spans="1:10" x14ac:dyDescent="0.25">
      <c r="B14" s="36"/>
      <c r="C14" s="3">
        <f t="shared" si="2"/>
        <v>-0.77413693232531988</v>
      </c>
      <c r="D14" s="3">
        <f t="shared" si="3"/>
        <v>0.63301507456430894</v>
      </c>
      <c r="E14" s="3">
        <f t="shared" si="4"/>
        <v>-1.9812582581575353E-3</v>
      </c>
      <c r="F14" s="3">
        <f t="shared" si="5"/>
        <v>299792.45799999998</v>
      </c>
      <c r="G14" s="39" t="s">
        <v>19</v>
      </c>
      <c r="H14" s="29" t="s">
        <v>18</v>
      </c>
      <c r="I14" s="2">
        <f>DEGREES(Latitude(H9,H10,H11))</f>
        <v>-23.598752629545441</v>
      </c>
    </row>
    <row r="15" spans="1:10" x14ac:dyDescent="0.25">
      <c r="B15" s="36"/>
      <c r="C15" s="3">
        <f t="shared" si="2"/>
        <v>7.0682917689978012E-3</v>
      </c>
      <c r="D15" s="3">
        <f t="shared" si="3"/>
        <v>0.95062128687719583</v>
      </c>
      <c r="E15" s="3">
        <f t="shared" si="4"/>
        <v>0.31027279640247635</v>
      </c>
      <c r="F15" s="3">
        <f t="shared" si="5"/>
        <v>299792.45799999998</v>
      </c>
      <c r="G15" s="39"/>
      <c r="H15" s="29" t="s">
        <v>17</v>
      </c>
      <c r="I15" s="2">
        <f>DEGREES(Longitude(H9,H10))</f>
        <v>-46.676609092649961</v>
      </c>
    </row>
    <row r="16" spans="1:10" x14ac:dyDescent="0.25">
      <c r="B16" s="36"/>
      <c r="C16" s="3">
        <f t="shared" si="2"/>
        <v>0.48020598631205624</v>
      </c>
      <c r="D16" s="3">
        <f t="shared" si="3"/>
        <v>0.85294734924772919</v>
      </c>
      <c r="E16" s="3">
        <f t="shared" si="4"/>
        <v>0.20465343906550279</v>
      </c>
      <c r="F16" s="3">
        <f t="shared" si="5"/>
        <v>299792.45799999998</v>
      </c>
      <c r="G16" s="39"/>
      <c r="H16" s="29" t="s">
        <v>16</v>
      </c>
      <c r="I16" s="2">
        <f>Altitude(H9,H10,H11)</f>
        <v>759.99819668583041</v>
      </c>
    </row>
    <row r="19" spans="2:8" x14ac:dyDescent="0.25">
      <c r="B19" s="37" t="s">
        <v>10</v>
      </c>
      <c r="C19" s="4">
        <f t="array" ref="C19:H22">MMULT(MINVERSE(MMULT(TRANSPOSE(C11:F16),C11:F16)),TRANSPOSE(C11:F16))</f>
        <v>0.16276941904535303</v>
      </c>
      <c r="D19" s="4">
        <v>0.10293481765077761</v>
      </c>
      <c r="E19" s="4">
        <v>0.15278743895054792</v>
      </c>
      <c r="F19" s="4">
        <v>-1.0057704008314583</v>
      </c>
      <c r="G19" s="4">
        <v>-0.37062621565257725</v>
      </c>
      <c r="H19" s="4">
        <v>0.95790494083734745</v>
      </c>
    </row>
    <row r="20" spans="2:8" x14ac:dyDescent="0.25">
      <c r="B20" s="38"/>
      <c r="C20" s="4">
        <v>-1.0434441956834846</v>
      </c>
      <c r="D20" s="4">
        <v>-0.8737758263668578</v>
      </c>
      <c r="E20" s="4">
        <v>-7.2257631685896939E-3</v>
      </c>
      <c r="F20" s="4">
        <v>1.2729869103663196</v>
      </c>
      <c r="G20" s="4">
        <v>1.2387400498104402</v>
      </c>
      <c r="H20" s="4">
        <v>-0.58728117495782906</v>
      </c>
    </row>
    <row r="21" spans="2:8" x14ac:dyDescent="0.25">
      <c r="B21" s="38"/>
      <c r="C21" s="4">
        <v>-0.41424861071976948</v>
      </c>
      <c r="D21" s="4">
        <v>0.50446073642296729</v>
      </c>
      <c r="E21" s="4">
        <v>-0.49722898282919059</v>
      </c>
      <c r="F21" s="4">
        <v>0.28977442340634096</v>
      </c>
      <c r="G21" s="4">
        <v>0.30844328411982624</v>
      </c>
      <c r="H21" s="4">
        <v>-0.1912008504001742</v>
      </c>
    </row>
    <row r="22" spans="2:8" x14ac:dyDescent="0.25">
      <c r="B22" s="38"/>
      <c r="C22" s="4">
        <v>2.9008462114404455E-6</v>
      </c>
      <c r="D22" s="4">
        <v>2.3499548539547484E-6</v>
      </c>
      <c r="E22" s="4">
        <v>8.1144007070536527E-7</v>
      </c>
      <c r="F22" s="4">
        <v>-3.1298797093685037E-6</v>
      </c>
      <c r="G22" s="4">
        <v>-2.3877561829540572E-6</v>
      </c>
      <c r="H22" s="4">
        <v>2.7910357082035187E-6</v>
      </c>
    </row>
  </sheetData>
  <mergeCells count="3">
    <mergeCell ref="B11:B16"/>
    <mergeCell ref="B19:B22"/>
    <mergeCell ref="G14:G16"/>
  </mergeCells>
  <pageMargins left="0.511811024" right="0.511811024" top="0.78740157499999996" bottom="0.78740157499999996" header="0.31496062000000002" footer="0.31496062000000002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Raul Ikeda</cp:lastModifiedBy>
  <dcterms:created xsi:type="dcterms:W3CDTF">2016-05-01T14:09:15Z</dcterms:created>
  <dcterms:modified xsi:type="dcterms:W3CDTF">2017-09-19T01:04:38Z</dcterms:modified>
</cp:coreProperties>
</file>